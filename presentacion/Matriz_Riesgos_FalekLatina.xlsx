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Consolidada" sheetId="1" state="visible" r:id="rId3"/>
    <sheet name="Leyenda y 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<sst xmlns="http://schemas.openxmlformats.org/spreadsheetml/2006/main" count="347" uniqueCount="188">
  <si>
    <t xml:space="preserve">MATRIZ DE RIESGOS ARQUITECTÓNICOS – FALEK LATINA S.A.S.</t>
  </si>
  <si>
    <t xml:space="preserve">Arquitectura Empresarial · Universidad de La Sabana · 2026</t>
  </si>
  <si>
    <t xml:space="preserve">ID</t>
  </si>
  <si>
    <t xml:space="preserve">Riesgo Identificado</t>
  </si>
  <si>
    <t xml:space="preserve">Dominio</t>
  </si>
  <si>
    <t xml:space="preserve">Impacto</t>
  </si>
  <si>
    <t xml:space="preserve">Probabilidad</t>
  </si>
  <si>
    <t xml:space="preserve">Nivel de Riesgo</t>
  </si>
  <si>
    <t xml:space="preserve">Causa / Evidencia AS-IS</t>
  </si>
  <si>
    <t xml:space="preserve">Mitigación Propuesta</t>
  </si>
  <si>
    <t xml:space="preserve">Iniciativa TO-BE</t>
  </si>
  <si>
    <t xml:space="preserve">RI-01</t>
  </si>
  <si>
    <t xml:space="preserve">SPOF: servidor único en Bogotá</t>
  </si>
  <si>
    <t xml:space="preserve">Infraestructura</t>
  </si>
  <si>
    <t xml:space="preserve">Crítico</t>
  </si>
  <si>
    <t xml:space="preserve">Alta</t>
  </si>
  <si>
    <t xml:space="preserve">Toda la lógica y datos residen en un único servidor local sin redundancia ni failover</t>
  </si>
  <si>
    <t xml:space="preserve">Migración a arquitectura cloud; eliminar dependencia del servidor local</t>
  </si>
  <si>
    <t xml:space="preserve">Iniciativa 2 – Cloud</t>
  </si>
  <si>
    <t xml:space="preserve">RI-02</t>
  </si>
  <si>
    <t xml:space="preserve">Sin disaster recovery ni backups verificados</t>
  </si>
  <si>
    <t xml:space="preserve">Media</t>
  </si>
  <si>
    <t xml:space="preserve">Alto</t>
  </si>
  <si>
    <t xml:space="preserve">Ausencia de backups verificados y sin política de recuperación ante desastres</t>
  </si>
  <si>
    <t xml:space="preserve">Backups diarios en nube cifrada; pruebas de restauración trimestrales</t>
  </si>
  <si>
    <t xml:space="preserve">RI-03</t>
  </si>
  <si>
    <t xml:space="preserve">Conectividad WAN sin redundancia en sedes regionales</t>
  </si>
  <si>
    <t xml:space="preserve">Medio</t>
  </si>
  <si>
    <t xml:space="preserve">Un corte del ISP en Cota o Barranquilla deja sin operación las estaciones logísticas</t>
  </si>
  <si>
    <t xml:space="preserve">Doble enlace ISP o failover 4G para Cota y Barranquilla</t>
  </si>
  <si>
    <t xml:space="preserve">RI-04</t>
  </si>
  <si>
    <t xml:space="preserve">Infraestructura no preparada para expansión internacional</t>
  </si>
  <si>
    <t xml:space="preserve">Sin arquitectura cloud ni VPN corporativa; Miami requiere acceso remoto inexistente hoy</t>
  </si>
  <si>
    <t xml:space="preserve">Arquitectura cloud-native + VPN corporativa + acceso remoto seguro</t>
  </si>
  <si>
    <t xml:space="preserve">RP-01</t>
  </si>
  <si>
    <t xml:space="preserve">Errores manuales en cotizaciones por uso de Excel</t>
  </si>
  <si>
    <t xml:space="preserve">Procesos</t>
  </si>
  <si>
    <t xml:space="preserve">Fórmulas incorrectas, versiones desactualizadas o errores de digitación generan cotizaciones con precios equivocados</t>
  </si>
  <si>
    <t xml:space="preserve">Implementar CRM con módulo de cotizaciones automatizado</t>
  </si>
  <si>
    <t xml:space="preserve">Iniciativa 1 – CRM</t>
  </si>
  <si>
    <t xml:space="preserve">RP-02</t>
  </si>
  <si>
    <t xml:space="preserve">Pérdida de trazabilidad en el proceso comercial</t>
  </si>
  <si>
    <t xml:space="preserve">Sin logs de acciones ni firma digital; riesgo de repudio (STRIDE T3)</t>
  </si>
  <si>
    <t xml:space="preserve">Logs inmutables de acciones; acuse de recibo firmado digitalmente</t>
  </si>
  <si>
    <t xml:space="preserve">RP-03</t>
  </si>
  <si>
    <t xml:space="preserve">Cuello de botella en validación de inventario</t>
  </si>
  <si>
    <t xml:space="preserve">Verificación de stock manual; Helisa puede no estar actualizado en tiempo real</t>
  </si>
  <si>
    <t xml:space="preserve">Integración CRM–Helisa para consulta de inventario en tiempo real</t>
  </si>
  <si>
    <t xml:space="preserve">RP-04</t>
  </si>
  <si>
    <t xml:space="preserve">Doble digitación en el flujo post-venta</t>
  </si>
  <si>
    <t xml:space="preserve">La información de la orden de venta se reingresa manualmente en contabilidad</t>
  </si>
  <si>
    <t xml:space="preserve">Integración automática orden de venta → Helisa vía API</t>
  </si>
  <si>
    <t xml:space="preserve">RD-01</t>
  </si>
  <si>
    <t xml:space="preserve">Silos de información entre áreas</t>
  </si>
  <si>
    <t xml:space="preserve">Datos</t>
  </si>
  <si>
    <t xml:space="preserve">Excel, Helisa y Google Drive no están integrados; no hay fuente única de verdad</t>
  </si>
  <si>
    <t xml:space="preserve">API de integración entre CRM, inventario y Helisa</t>
  </si>
  <si>
    <t xml:space="preserve">RD-02</t>
  </si>
  <si>
    <t xml:space="preserve">Datos de clientes duplicados o inconsistentes</t>
  </si>
  <si>
    <t xml:space="preserve">Sin CRM; ~100 clientes gestionados en hojas de Excel y correos sin deduplicación</t>
  </si>
  <si>
    <t xml:space="preserve">Adoptar CRM centralizado con deduplicación automática</t>
  </si>
  <si>
    <t xml:space="preserve">RD-03</t>
  </si>
  <si>
    <t xml:space="preserve">Ausencia de gobierno y clasificación de datos</t>
  </si>
  <si>
    <t xml:space="preserve">No existe inventario de activos de información ni clasificación por criticidad</t>
  </si>
  <si>
    <t xml:space="preserve">Inventario de activos de información + política de clasificación de datos</t>
  </si>
  <si>
    <t xml:space="preserve">Iniciativa 5 – Gobierno TI</t>
  </si>
  <si>
    <t xml:space="preserve">RD-04</t>
  </si>
  <si>
    <t xml:space="preserve">Pérdida de datos históricos por fallo de hardware</t>
  </si>
  <si>
    <t xml:space="preserve">Archivos Excel en equipos locales sin política de backup formal verificada</t>
  </si>
  <si>
    <t xml:space="preserve">Backup automático con versionado en nube; replicación geográfica</t>
  </si>
  <si>
    <t xml:space="preserve">RA-01</t>
  </si>
  <si>
    <t xml:space="preserve">Deuda técnica: Excel como sistema operacional</t>
  </si>
  <si>
    <t xml:space="preserve">Aplicaciones</t>
  </si>
  <si>
    <t xml:space="preserve">Excel fue diseñado para análisis, no para gestión transaccional crítica</t>
  </si>
  <si>
    <t xml:space="preserve">Adoptar CRM (HubSpot/Zoho) integrado con Helisa vía API</t>
  </si>
  <si>
    <t xml:space="preserve">RA-02</t>
  </si>
  <si>
    <t xml:space="preserve">Sin integración entre sistemas (ausencia de APIs)</t>
  </si>
  <si>
    <t xml:space="preserve">El flujo cotización-inventario-factura-contabilidad implica re-digitación manual en cada etapa</t>
  </si>
  <si>
    <t xml:space="preserve">Implementar integración nativa CRM-ERP o API gateway</t>
  </si>
  <si>
    <t xml:space="preserve">RA-03</t>
  </si>
  <si>
    <t xml:space="preserve">Ausencia de CRM como capa de gestión de clientes</t>
  </si>
  <si>
    <t xml:space="preserve">Los datos de los ~100 clientes no tienen una aplicación de soporte estructurada</t>
  </si>
  <si>
    <t xml:space="preserve">Implementar CRM (HubSpot/Zoho CRM) para gestión de clientes</t>
  </si>
  <si>
    <t xml:space="preserve">RA-04</t>
  </si>
  <si>
    <t xml:space="preserve">Sin escalabilidad para el plan de expansión a Miami</t>
  </si>
  <si>
    <t xml:space="preserve">Helisa en servidor local no puede soportar usuarios en Miami sin cambios de arquitectura</t>
  </si>
  <si>
    <t xml:space="preserve">Migrar a versión cloud de ERP o integrar con CRM cloud-native</t>
  </si>
  <si>
    <t xml:space="preserve">RS-01</t>
  </si>
  <si>
    <t xml:space="preserve">Suplantación de identidad de asesores (STRIDE T1)</t>
  </si>
  <si>
    <t xml:space="preserve">Seguridad</t>
  </si>
  <si>
    <t xml:space="preserve">Acceso solo con usuario/contraseña; sin autenticación multifactor (MFA)</t>
  </si>
  <si>
    <t xml:space="preserve">Implementar MFA para todos los usuarios del CRM y correo</t>
  </si>
  <si>
    <t xml:space="preserve">Iniciativa 3 – Seguridad</t>
  </si>
  <si>
    <t xml:space="preserve">RS-02</t>
  </si>
  <si>
    <t xml:space="preserve">Modificación no autorizada del inventario (STRIDE T2)</t>
  </si>
  <si>
    <t xml:space="preserve">Sin logs de auditoría ni control de cambios; un usuario interno puede alterar el stock sin rastro</t>
  </si>
  <si>
    <t xml:space="preserve">Logs de auditoría inmutables; alertas sobre modificaciones de inventario</t>
  </si>
  <si>
    <t xml:space="preserve">RS-03</t>
  </si>
  <si>
    <t xml:space="preserve">Exposición de información comercial sensible (STRIDE T4)</t>
  </si>
  <si>
    <t xml:space="preserve">Cotizaciones enviadas por correo sin cifrado; sin RBAC para acceso a precios y márgenes</t>
  </si>
  <si>
    <t xml:space="preserve">HTTPS/TLS, RBAC por rol, protección de PDFs de cotización</t>
  </si>
  <si>
    <t xml:space="preserve">RS-04</t>
  </si>
  <si>
    <t xml:space="preserve">Escalada de privilegios al módulo contable (STRIDE T6)</t>
  </si>
  <si>
    <t xml:space="preserve">Roles de usuario básicos sin validación estricta del lado del servidor</t>
  </si>
  <si>
    <t xml:space="preserve">Validación de permisos server-side; separación estricta de roles</t>
  </si>
  <si>
    <t xml:space="preserve">RS-05</t>
  </si>
  <si>
    <t xml:space="preserve">Incumplimiento normativo Ley 1581 / Habeas Data</t>
  </si>
  <si>
    <t xml:space="preserve">Sin política de privacidad visible, sin consentimiento web, sin canal ARCO (4 criterios ■ Taller 6)</t>
  </si>
  <si>
    <t xml:space="preserve">Publicar política de datos, consentimiento web, canal ARCO en 30 días</t>
  </si>
  <si>
    <t xml:space="preserve">Iniciativa 4 – Normativa</t>
  </si>
  <si>
    <t xml:space="preserve">RS-06</t>
  </si>
  <si>
    <t xml:space="preserve">Ausencia de plan de respuesta a incidentes</t>
  </si>
  <si>
    <t xml:space="preserve">Sin protocolo documentado de gestión de ciberincidentes; un ransomware podría paralizar la operación</t>
  </si>
  <si>
    <t xml:space="preserve">Desarrollar plan básico de respuesta; definir responsables y pasos</t>
  </si>
  <si>
    <t xml:space="preserve">RN-01</t>
  </si>
  <si>
    <t xml:space="preserve">Arquitectura no soporta expansión a Miami</t>
  </si>
  <si>
    <t xml:space="preserve">Negocio</t>
  </si>
  <si>
    <t xml:space="preserve">Sin sistemas cloud ni acceso remoto; Helisa es un servidor local inaccesible externamente</t>
  </si>
  <si>
    <t xml:space="preserve">Migración cloud + VPN corporativa + sistemas accesibles remotamente</t>
  </si>
  <si>
    <t xml:space="preserve">RN-02</t>
  </si>
  <si>
    <t xml:space="preserve">Dependencia crítica de personal clave</t>
  </si>
  <si>
    <t xml:space="preserve">Solo 12 empleados; procesos no documentados; conocimiento tácito no transferido</t>
  </si>
  <si>
    <t xml:space="preserve">Documentar procesos; digitalizar en sistemas; reducir conocimiento tácito</t>
  </si>
  <si>
    <t xml:space="preserve">RN-03</t>
  </si>
  <si>
    <t xml:space="preserve">Baja capacidad analítica para decisiones</t>
  </si>
  <si>
    <t xml:space="preserve">Sin herramientas analíticas ni BI; la entrada de Disan requiere mayor eficiencia</t>
  </si>
  <si>
    <t xml:space="preserve">Tablero básico en Google Data Studio o Power BI</t>
  </si>
  <si>
    <t xml:space="preserve">RN-04</t>
  </si>
  <si>
    <t xml:space="preserve">Segmento ferrosos no soportado tecnológicamente</t>
  </si>
  <si>
    <t xml:space="preserve">No hay sistemas ni datos estructurados sobre ese segmento débil del negocio</t>
  </si>
  <si>
    <t xml:space="preserve">Incorporar módulo de seguimiento de segmento en el CRM</t>
  </si>
  <si>
    <t xml:space="preserve">RG-01</t>
  </si>
  <si>
    <t xml:space="preserve">Sin arquitectura documentada ni estándares tecnológicos</t>
  </si>
  <si>
    <t xml:space="preserve">Gobierno TI</t>
  </si>
  <si>
    <t xml:space="preserve">Las decisiones tecnológicas se toman sin lineamientos; cada herramienta adoptada ad hoc</t>
  </si>
  <si>
    <t xml:space="preserve">Documentar arquitectura actual y futura; definir estándares tecnológicos</t>
  </si>
  <si>
    <t xml:space="preserve">RG-02</t>
  </si>
  <si>
    <t xml:space="preserve">Ausencia de política de seguridad de la información</t>
  </si>
  <si>
    <t xml:space="preserve">Sin SGSI ni controles formales; ninguna política aprobada ni comunicada (ISO 27001 crit. 8: ■)</t>
  </si>
  <si>
    <t xml:space="preserve">Redactar política básica de SI y comunicarla a los 12 empleados</t>
  </si>
  <si>
    <t xml:space="preserve">RG-03</t>
  </si>
  <si>
    <t xml:space="preserve">Sin responsable formal de TI ni de datos personales</t>
  </si>
  <si>
    <t xml:space="preserve">Empresa de 12 empleados sin rol de TI dedicado ni DPO designado</t>
  </si>
  <si>
    <t xml:space="preserve">Designar responsable de TI/datos; puede ser rol parcial en empleado actual</t>
  </si>
  <si>
    <t xml:space="preserve">RG-04</t>
  </si>
  <si>
    <t xml:space="preserve">Deuda regulatoria acumulada</t>
  </si>
  <si>
    <t xml:space="preserve">Incumplimientos Ley 1581, posible SAGRILAFT; múltiples hallazgos ■ en checklist</t>
  </si>
  <si>
    <t xml:space="preserve">Plan de adecuación normativa en 90 días; asesoría jurídica</t>
  </si>
  <si>
    <t xml:space="preserve">LEYENDA DE NIVELES DE RIESGO</t>
  </si>
  <si>
    <t xml:space="preserve">Nivel</t>
  </si>
  <si>
    <t xml:space="preserve">Impacto × Probabilidad</t>
  </si>
  <si>
    <t xml:space="preserve">Descripción</t>
  </si>
  <si>
    <t xml:space="preserve">Color</t>
  </si>
  <si>
    <t xml:space="preserve">Crítico × Alta/Media</t>
  </si>
  <si>
    <t xml:space="preserve">Puede paralizar completamente la operación o generar sanciones graves</t>
  </si>
  <si>
    <t xml:space="preserve">■</t>
  </si>
  <si>
    <t xml:space="preserve">Alto × Alta o Crítico × Baja</t>
  </si>
  <si>
    <t xml:space="preserve">Impacto significativo; requiere mitigación inmediata (&lt;30 días)</t>
  </si>
  <si>
    <t xml:space="preserve">Medio × Alta o Alto × Media</t>
  </si>
  <si>
    <t xml:space="preserve">Impacto moderado; mitigación a mediano plazo (30-90 días)</t>
  </si>
  <si>
    <t xml:space="preserve">Bajo</t>
  </si>
  <si>
    <t xml:space="preserve">Bajo × cualquiera</t>
  </si>
  <si>
    <t xml:space="preserve">Impacto menor; monitorear periódicamente</t>
  </si>
  <si>
    <t xml:space="preserve">RESUMEN DE RIESGOS POR DOMINIO</t>
  </si>
  <si>
    <t xml:space="preserve">Total Riesgos</t>
  </si>
  <si>
    <t xml:space="preserve">Críticos/Altos</t>
  </si>
  <si>
    <t xml:space="preserve">Prioridad</t>
  </si>
  <si>
    <t xml:space="preserve">Crítica</t>
  </si>
  <si>
    <t xml:space="preserve">TOTAL</t>
  </si>
  <si>
    <t xml:space="preserve">INICIATIVAS TO-BE Y RIESGOS MITIGADOS</t>
  </si>
  <si>
    <t xml:space="preserve">Iniciativa</t>
  </si>
  <si>
    <t xml:space="preserve">Riesgos que mitiga</t>
  </si>
  <si>
    <t xml:space="preserve">Plazo sugerido</t>
  </si>
  <si>
    <t xml:space="preserve">Iniciativa 1 – CRM integrado con Helisa</t>
  </si>
  <si>
    <t xml:space="preserve">RP-01, RP-02, RP-03, RP-04, RD-01, RD-02, RA-01, RA-02, RA-03, RN-04</t>
  </si>
  <si>
    <t xml:space="preserve">3-6 meses</t>
  </si>
  <si>
    <t xml:space="preserve">Iniciativa 2 – Migración a infraestructura cloud</t>
  </si>
  <si>
    <t xml:space="preserve">RI-01, RI-02, RI-03, RI-04, RD-04, RN-01, RA-04</t>
  </si>
  <si>
    <t xml:space="preserve">6-12 meses</t>
  </si>
  <si>
    <t xml:space="preserve">Iniciativa 3 – Seguridad básica (MFA+RBAC+TLS)</t>
  </si>
  <si>
    <t xml:space="preserve">RS-01, RS-02, RS-03, RS-04, RS-06</t>
  </si>
  <si>
    <t xml:space="preserve">1-2 meses</t>
  </si>
  <si>
    <t xml:space="preserve">Iniciativa 4 – Adecuación normativa Ley 1581</t>
  </si>
  <si>
    <t xml:space="preserve">RS-05, RG-04</t>
  </si>
  <si>
    <t xml:space="preserve">30 días</t>
  </si>
  <si>
    <t xml:space="preserve">Iniciativa 5 – Política de SI y Gobierno TI</t>
  </si>
  <si>
    <t xml:space="preserve">RD-03, RG-01, RG-02, RG-03, RN-02, RN-03</t>
  </si>
  <si>
    <t xml:space="preserve">2-4 meses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</si>
</sst>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FFC000"/>
      <name val="Arial"/>
      <family val="0"/>
      <charset val="1"/>
    </font>
    <font>
      <sz val="10"/>
      <color rgb="FF92D05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AAAA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48"/>
    <col collapsed="false" customWidth="true" hidden="false" outlineLevel="0" max="9" min="9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5" hidden="false" customHeight="true" outlineLevel="0" collapsed="false">
      <c r="A4" s="4" t="s">
        <v>11</v>
      </c>
      <c r="B4" s="5" t="s">
        <v>12</v>
      </c>
      <c r="C4" s="6" t="s">
        <v>13</v>
      </c>
      <c r="D4" s="7" t="s">
        <v>14</v>
      </c>
      <c r="E4" s="6" t="s">
        <v>15</v>
      </c>
      <c r="F4" s="7" t="s">
        <v>14</v>
      </c>
      <c r="G4" s="5" t="s">
        <v>16</v>
      </c>
      <c r="H4" s="5" t="s">
        <v>17</v>
      </c>
      <c r="I4" s="6" t="s">
        <v>18</v>
      </c>
    </row>
    <row r="5" customFormat="false" ht="45" hidden="false" customHeight="true" outlineLevel="0" collapsed="false">
      <c r="A5" s="8" t="s">
        <v>19</v>
      </c>
      <c r="B5" s="9" t="s">
        <v>20</v>
      </c>
      <c r="C5" s="10" t="s">
        <v>13</v>
      </c>
      <c r="D5" s="7" t="s">
        <v>14</v>
      </c>
      <c r="E5" s="10" t="s">
        <v>21</v>
      </c>
      <c r="F5" s="11" t="s">
        <v>22</v>
      </c>
      <c r="G5" s="9" t="s">
        <v>23</v>
      </c>
      <c r="H5" s="9" t="s">
        <v>24</v>
      </c>
      <c r="I5" s="10" t="s">
        <v>18</v>
      </c>
    </row>
    <row r="6" customFormat="false" ht="45" hidden="false" customHeight="true" outlineLevel="0" collapsed="false">
      <c r="A6" s="4" t="s">
        <v>25</v>
      </c>
      <c r="B6" s="5" t="s">
        <v>26</v>
      </c>
      <c r="C6" s="6" t="s">
        <v>13</v>
      </c>
      <c r="D6" s="12" t="s">
        <v>27</v>
      </c>
      <c r="E6" s="6" t="s">
        <v>21</v>
      </c>
      <c r="F6" s="12" t="s">
        <v>27</v>
      </c>
      <c r="G6" s="5" t="s">
        <v>28</v>
      </c>
      <c r="H6" s="5" t="s">
        <v>29</v>
      </c>
      <c r="I6" s="6" t="s">
        <v>18</v>
      </c>
    </row>
    <row r="7" customFormat="false" ht="45" hidden="false" customHeight="true" outlineLevel="0" collapsed="false">
      <c r="A7" s="8" t="s">
        <v>30</v>
      </c>
      <c r="B7" s="9" t="s">
        <v>31</v>
      </c>
      <c r="C7" s="10" t="s">
        <v>13</v>
      </c>
      <c r="D7" s="11" t="s">
        <v>22</v>
      </c>
      <c r="E7" s="10" t="s">
        <v>15</v>
      </c>
      <c r="F7" s="11" t="s">
        <v>22</v>
      </c>
      <c r="G7" s="9" t="s">
        <v>32</v>
      </c>
      <c r="H7" s="9" t="s">
        <v>33</v>
      </c>
      <c r="I7" s="10" t="s">
        <v>18</v>
      </c>
    </row>
    <row r="8" customFormat="false" ht="45" hidden="false" customHeight="true" outlineLevel="0" collapsed="false">
      <c r="A8" s="4" t="s">
        <v>34</v>
      </c>
      <c r="B8" s="5" t="s">
        <v>35</v>
      </c>
      <c r="C8" s="6" t="s">
        <v>36</v>
      </c>
      <c r="D8" s="11" t="s">
        <v>22</v>
      </c>
      <c r="E8" s="6" t="s">
        <v>15</v>
      </c>
      <c r="F8" s="11" t="s">
        <v>22</v>
      </c>
      <c r="G8" s="5" t="s">
        <v>37</v>
      </c>
      <c r="H8" s="5" t="s">
        <v>38</v>
      </c>
      <c r="I8" s="6" t="s">
        <v>39</v>
      </c>
    </row>
    <row r="9" customFormat="false" ht="45" hidden="false" customHeight="true" outlineLevel="0" collapsed="false">
      <c r="A9" s="8" t="s">
        <v>40</v>
      </c>
      <c r="B9" s="9" t="s">
        <v>41</v>
      </c>
      <c r="C9" s="10" t="s">
        <v>36</v>
      </c>
      <c r="D9" s="12" t="s">
        <v>27</v>
      </c>
      <c r="E9" s="10" t="s">
        <v>15</v>
      </c>
      <c r="F9" s="12" t="s">
        <v>27</v>
      </c>
      <c r="G9" s="9" t="s">
        <v>42</v>
      </c>
      <c r="H9" s="9" t="s">
        <v>43</v>
      </c>
      <c r="I9" s="10" t="s">
        <v>39</v>
      </c>
    </row>
    <row r="10" customFormat="false" ht="45" hidden="false" customHeight="true" outlineLevel="0" collapsed="false">
      <c r="A10" s="4" t="s">
        <v>44</v>
      </c>
      <c r="B10" s="5" t="s">
        <v>45</v>
      </c>
      <c r="C10" s="6" t="s">
        <v>36</v>
      </c>
      <c r="D10" s="11" t="s">
        <v>22</v>
      </c>
      <c r="E10" s="6" t="s">
        <v>15</v>
      </c>
      <c r="F10" s="11" t="s">
        <v>22</v>
      </c>
      <c r="G10" s="5" t="s">
        <v>46</v>
      </c>
      <c r="H10" s="5" t="s">
        <v>47</v>
      </c>
      <c r="I10" s="6" t="s">
        <v>39</v>
      </c>
    </row>
    <row r="11" customFormat="false" ht="45" hidden="false" customHeight="true" outlineLevel="0" collapsed="false">
      <c r="A11" s="8" t="s">
        <v>48</v>
      </c>
      <c r="B11" s="9" t="s">
        <v>49</v>
      </c>
      <c r="C11" s="10" t="s">
        <v>36</v>
      </c>
      <c r="D11" s="12" t="s">
        <v>27</v>
      </c>
      <c r="E11" s="10" t="s">
        <v>15</v>
      </c>
      <c r="F11" s="12" t="s">
        <v>27</v>
      </c>
      <c r="G11" s="9" t="s">
        <v>50</v>
      </c>
      <c r="H11" s="9" t="s">
        <v>51</v>
      </c>
      <c r="I11" s="10" t="s">
        <v>39</v>
      </c>
    </row>
    <row r="12" customFormat="false" ht="45" hidden="false" customHeight="true" outlineLevel="0" collapsed="false">
      <c r="A12" s="4" t="s">
        <v>52</v>
      </c>
      <c r="B12" s="5" t="s">
        <v>53</v>
      </c>
      <c r="C12" s="6" t="s">
        <v>54</v>
      </c>
      <c r="D12" s="11" t="s">
        <v>22</v>
      </c>
      <c r="E12" s="6" t="s">
        <v>15</v>
      </c>
      <c r="F12" s="11" t="s">
        <v>22</v>
      </c>
      <c r="G12" s="5" t="s">
        <v>55</v>
      </c>
      <c r="H12" s="5" t="s">
        <v>56</v>
      </c>
      <c r="I12" s="6" t="s">
        <v>39</v>
      </c>
    </row>
    <row r="13" customFormat="false" ht="45" hidden="false" customHeight="true" outlineLevel="0" collapsed="false">
      <c r="A13" s="8" t="s">
        <v>57</v>
      </c>
      <c r="B13" s="9" t="s">
        <v>58</v>
      </c>
      <c r="C13" s="10" t="s">
        <v>54</v>
      </c>
      <c r="D13" s="12" t="s">
        <v>27</v>
      </c>
      <c r="E13" s="10" t="s">
        <v>15</v>
      </c>
      <c r="F13" s="12" t="s">
        <v>27</v>
      </c>
      <c r="G13" s="9" t="s">
        <v>59</v>
      </c>
      <c r="H13" s="9" t="s">
        <v>60</v>
      </c>
      <c r="I13" s="10" t="s">
        <v>39</v>
      </c>
    </row>
    <row r="14" customFormat="false" ht="45" hidden="false" customHeight="true" outlineLevel="0" collapsed="false">
      <c r="A14" s="4" t="s">
        <v>61</v>
      </c>
      <c r="B14" s="5" t="s">
        <v>62</v>
      </c>
      <c r="C14" s="6" t="s">
        <v>54</v>
      </c>
      <c r="D14" s="11" t="s">
        <v>22</v>
      </c>
      <c r="E14" s="6" t="s">
        <v>15</v>
      </c>
      <c r="F14" s="11" t="s">
        <v>22</v>
      </c>
      <c r="G14" s="5" t="s">
        <v>63</v>
      </c>
      <c r="H14" s="5" t="s">
        <v>64</v>
      </c>
      <c r="I14" s="6" t="s">
        <v>65</v>
      </c>
    </row>
    <row r="15" customFormat="false" ht="45" hidden="false" customHeight="true" outlineLevel="0" collapsed="false">
      <c r="A15" s="8" t="s">
        <v>66</v>
      </c>
      <c r="B15" s="9" t="s">
        <v>67</v>
      </c>
      <c r="C15" s="10" t="s">
        <v>54</v>
      </c>
      <c r="D15" s="7" t="s">
        <v>14</v>
      </c>
      <c r="E15" s="10" t="s">
        <v>21</v>
      </c>
      <c r="F15" s="11" t="s">
        <v>22</v>
      </c>
      <c r="G15" s="9" t="s">
        <v>68</v>
      </c>
      <c r="H15" s="9" t="s">
        <v>69</v>
      </c>
      <c r="I15" s="10" t="s">
        <v>18</v>
      </c>
    </row>
    <row r="16" customFormat="false" ht="45" hidden="false" customHeight="true" outlineLevel="0" collapsed="false">
      <c r="A16" s="4" t="s">
        <v>70</v>
      </c>
      <c r="B16" s="5" t="s">
        <v>71</v>
      </c>
      <c r="C16" s="6" t="s">
        <v>72</v>
      </c>
      <c r="D16" s="11" t="s">
        <v>22</v>
      </c>
      <c r="E16" s="6" t="s">
        <v>15</v>
      </c>
      <c r="F16" s="11" t="s">
        <v>22</v>
      </c>
      <c r="G16" s="5" t="s">
        <v>73</v>
      </c>
      <c r="H16" s="5" t="s">
        <v>74</v>
      </c>
      <c r="I16" s="6" t="s">
        <v>39</v>
      </c>
    </row>
    <row r="17" customFormat="false" ht="45" hidden="false" customHeight="true" outlineLevel="0" collapsed="false">
      <c r="A17" s="8" t="s">
        <v>75</v>
      </c>
      <c r="B17" s="9" t="s">
        <v>76</v>
      </c>
      <c r="C17" s="10" t="s">
        <v>72</v>
      </c>
      <c r="D17" s="11" t="s">
        <v>22</v>
      </c>
      <c r="E17" s="10" t="s">
        <v>15</v>
      </c>
      <c r="F17" s="11" t="s">
        <v>22</v>
      </c>
      <c r="G17" s="9" t="s">
        <v>77</v>
      </c>
      <c r="H17" s="9" t="s">
        <v>78</v>
      </c>
      <c r="I17" s="10" t="s">
        <v>39</v>
      </c>
    </row>
    <row r="18" customFormat="false" ht="45" hidden="false" customHeight="true" outlineLevel="0" collapsed="false">
      <c r="A18" s="4" t="s">
        <v>79</v>
      </c>
      <c r="B18" s="5" t="s">
        <v>80</v>
      </c>
      <c r="C18" s="6" t="s">
        <v>72</v>
      </c>
      <c r="D18" s="12" t="s">
        <v>27</v>
      </c>
      <c r="E18" s="6" t="s">
        <v>15</v>
      </c>
      <c r="F18" s="12" t="s">
        <v>27</v>
      </c>
      <c r="G18" s="5" t="s">
        <v>81</v>
      </c>
      <c r="H18" s="5" t="s">
        <v>82</v>
      </c>
      <c r="I18" s="6" t="s">
        <v>39</v>
      </c>
    </row>
    <row r="19" customFormat="false" ht="45" hidden="false" customHeight="true" outlineLevel="0" collapsed="false">
      <c r="A19" s="8" t="s">
        <v>83</v>
      </c>
      <c r="B19" s="9" t="s">
        <v>84</v>
      </c>
      <c r="C19" s="10" t="s">
        <v>72</v>
      </c>
      <c r="D19" s="11" t="s">
        <v>22</v>
      </c>
      <c r="E19" s="10" t="s">
        <v>15</v>
      </c>
      <c r="F19" s="11" t="s">
        <v>22</v>
      </c>
      <c r="G19" s="9" t="s">
        <v>85</v>
      </c>
      <c r="H19" s="9" t="s">
        <v>86</v>
      </c>
      <c r="I19" s="10" t="s">
        <v>18</v>
      </c>
    </row>
    <row r="20" customFormat="false" ht="45" hidden="false" customHeight="true" outlineLevel="0" collapsed="false">
      <c r="A20" s="4" t="s">
        <v>87</v>
      </c>
      <c r="B20" s="5" t="s">
        <v>88</v>
      </c>
      <c r="C20" s="6" t="s">
        <v>89</v>
      </c>
      <c r="D20" s="11" t="s">
        <v>22</v>
      </c>
      <c r="E20" s="6" t="s">
        <v>21</v>
      </c>
      <c r="F20" s="11" t="s">
        <v>22</v>
      </c>
      <c r="G20" s="5" t="s">
        <v>90</v>
      </c>
      <c r="H20" s="5" t="s">
        <v>91</v>
      </c>
      <c r="I20" s="6" t="s">
        <v>92</v>
      </c>
    </row>
    <row r="21" customFormat="false" ht="45" hidden="false" customHeight="true" outlineLevel="0" collapsed="false">
      <c r="A21" s="8" t="s">
        <v>93</v>
      </c>
      <c r="B21" s="9" t="s">
        <v>94</v>
      </c>
      <c r="C21" s="10" t="s">
        <v>89</v>
      </c>
      <c r="D21" s="11" t="s">
        <v>22</v>
      </c>
      <c r="E21" s="10" t="s">
        <v>21</v>
      </c>
      <c r="F21" s="11" t="s">
        <v>22</v>
      </c>
      <c r="G21" s="9" t="s">
        <v>95</v>
      </c>
      <c r="H21" s="9" t="s">
        <v>96</v>
      </c>
      <c r="I21" s="10" t="s">
        <v>92</v>
      </c>
    </row>
    <row r="22" customFormat="false" ht="45" hidden="false" customHeight="true" outlineLevel="0" collapsed="false">
      <c r="A22" s="4" t="s">
        <v>97</v>
      </c>
      <c r="B22" s="5" t="s">
        <v>98</v>
      </c>
      <c r="C22" s="6" t="s">
        <v>89</v>
      </c>
      <c r="D22" s="11" t="s">
        <v>22</v>
      </c>
      <c r="E22" s="6" t="s">
        <v>15</v>
      </c>
      <c r="F22" s="11" t="s">
        <v>22</v>
      </c>
      <c r="G22" s="5" t="s">
        <v>99</v>
      </c>
      <c r="H22" s="5" t="s">
        <v>100</v>
      </c>
      <c r="I22" s="6" t="s">
        <v>92</v>
      </c>
    </row>
    <row r="23" customFormat="false" ht="45" hidden="false" customHeight="true" outlineLevel="0" collapsed="false">
      <c r="A23" s="8" t="s">
        <v>101</v>
      </c>
      <c r="B23" s="9" t="s">
        <v>102</v>
      </c>
      <c r="C23" s="10" t="s">
        <v>89</v>
      </c>
      <c r="D23" s="7" t="s">
        <v>14</v>
      </c>
      <c r="E23" s="10" t="s">
        <v>21</v>
      </c>
      <c r="F23" s="11" t="s">
        <v>22</v>
      </c>
      <c r="G23" s="9" t="s">
        <v>103</v>
      </c>
      <c r="H23" s="9" t="s">
        <v>104</v>
      </c>
      <c r="I23" s="10" t="s">
        <v>92</v>
      </c>
    </row>
    <row r="24" customFormat="false" ht="45" hidden="false" customHeight="true" outlineLevel="0" collapsed="false">
      <c r="A24" s="4" t="s">
        <v>105</v>
      </c>
      <c r="B24" s="5" t="s">
        <v>106</v>
      </c>
      <c r="C24" s="6" t="s">
        <v>89</v>
      </c>
      <c r="D24" s="11" t="s">
        <v>22</v>
      </c>
      <c r="E24" s="6" t="s">
        <v>15</v>
      </c>
      <c r="F24" s="11" t="s">
        <v>22</v>
      </c>
      <c r="G24" s="5" t="s">
        <v>107</v>
      </c>
      <c r="H24" s="5" t="s">
        <v>108</v>
      </c>
      <c r="I24" s="6" t="s">
        <v>109</v>
      </c>
    </row>
    <row r="25" customFormat="false" ht="45" hidden="false" customHeight="true" outlineLevel="0" collapsed="false">
      <c r="A25" s="8" t="s">
        <v>110</v>
      </c>
      <c r="B25" s="9" t="s">
        <v>111</v>
      </c>
      <c r="C25" s="10" t="s">
        <v>89</v>
      </c>
      <c r="D25" s="11" t="s">
        <v>22</v>
      </c>
      <c r="E25" s="10" t="s">
        <v>21</v>
      </c>
      <c r="F25" s="12" t="s">
        <v>27</v>
      </c>
      <c r="G25" s="9" t="s">
        <v>112</v>
      </c>
      <c r="H25" s="9" t="s">
        <v>113</v>
      </c>
      <c r="I25" s="10" t="s">
        <v>92</v>
      </c>
    </row>
    <row r="26" customFormat="false" ht="45" hidden="false" customHeight="true" outlineLevel="0" collapsed="false">
      <c r="A26" s="4" t="s">
        <v>114</v>
      </c>
      <c r="B26" s="5" t="s">
        <v>115</v>
      </c>
      <c r="C26" s="6" t="s">
        <v>116</v>
      </c>
      <c r="D26" s="11" t="s">
        <v>22</v>
      </c>
      <c r="E26" s="6" t="s">
        <v>15</v>
      </c>
      <c r="F26" s="11" t="s">
        <v>22</v>
      </c>
      <c r="G26" s="5" t="s">
        <v>117</v>
      </c>
      <c r="H26" s="5" t="s">
        <v>118</v>
      </c>
      <c r="I26" s="6" t="s">
        <v>18</v>
      </c>
    </row>
    <row r="27" customFormat="false" ht="45" hidden="false" customHeight="true" outlineLevel="0" collapsed="false">
      <c r="A27" s="8" t="s">
        <v>119</v>
      </c>
      <c r="B27" s="9" t="s">
        <v>120</v>
      </c>
      <c r="C27" s="10" t="s">
        <v>116</v>
      </c>
      <c r="D27" s="12" t="s">
        <v>27</v>
      </c>
      <c r="E27" s="10" t="s">
        <v>15</v>
      </c>
      <c r="F27" s="12" t="s">
        <v>27</v>
      </c>
      <c r="G27" s="9" t="s">
        <v>121</v>
      </c>
      <c r="H27" s="9" t="s">
        <v>122</v>
      </c>
      <c r="I27" s="10" t="s">
        <v>65</v>
      </c>
    </row>
    <row r="28" customFormat="false" ht="45" hidden="false" customHeight="true" outlineLevel="0" collapsed="false">
      <c r="A28" s="4" t="s">
        <v>123</v>
      </c>
      <c r="B28" s="5" t="s">
        <v>124</v>
      </c>
      <c r="C28" s="6" t="s">
        <v>116</v>
      </c>
      <c r="D28" s="12" t="s">
        <v>27</v>
      </c>
      <c r="E28" s="6" t="s">
        <v>15</v>
      </c>
      <c r="F28" s="12" t="s">
        <v>27</v>
      </c>
      <c r="G28" s="5" t="s">
        <v>125</v>
      </c>
      <c r="H28" s="5" t="s">
        <v>126</v>
      </c>
      <c r="I28" s="6" t="s">
        <v>65</v>
      </c>
    </row>
    <row r="29" customFormat="false" ht="45" hidden="false" customHeight="true" outlineLevel="0" collapsed="false">
      <c r="A29" s="8" t="s">
        <v>127</v>
      </c>
      <c r="B29" s="9" t="s">
        <v>128</v>
      </c>
      <c r="C29" s="10" t="s">
        <v>116</v>
      </c>
      <c r="D29" s="12" t="s">
        <v>27</v>
      </c>
      <c r="E29" s="10" t="s">
        <v>21</v>
      </c>
      <c r="F29" s="12" t="s">
        <v>27</v>
      </c>
      <c r="G29" s="9" t="s">
        <v>129</v>
      </c>
      <c r="H29" s="9" t="s">
        <v>130</v>
      </c>
      <c r="I29" s="10" t="s">
        <v>39</v>
      </c>
    </row>
    <row r="30" customFormat="false" ht="45" hidden="false" customHeight="true" outlineLevel="0" collapsed="false">
      <c r="A30" s="4" t="s">
        <v>131</v>
      </c>
      <c r="B30" s="5" t="s">
        <v>132</v>
      </c>
      <c r="C30" s="6" t="s">
        <v>133</v>
      </c>
      <c r="D30" s="11" t="s">
        <v>22</v>
      </c>
      <c r="E30" s="6" t="s">
        <v>15</v>
      </c>
      <c r="F30" s="11" t="s">
        <v>22</v>
      </c>
      <c r="G30" s="5" t="s">
        <v>134</v>
      </c>
      <c r="H30" s="5" t="s">
        <v>135</v>
      </c>
      <c r="I30" s="6" t="s">
        <v>65</v>
      </c>
    </row>
    <row r="31" customFormat="false" ht="45" hidden="false" customHeight="true" outlineLevel="0" collapsed="false">
      <c r="A31" s="8" t="s">
        <v>136</v>
      </c>
      <c r="B31" s="9" t="s">
        <v>137</v>
      </c>
      <c r="C31" s="10" t="s">
        <v>133</v>
      </c>
      <c r="D31" s="11" t="s">
        <v>22</v>
      </c>
      <c r="E31" s="10" t="s">
        <v>15</v>
      </c>
      <c r="F31" s="11" t="s">
        <v>22</v>
      </c>
      <c r="G31" s="9" t="s">
        <v>138</v>
      </c>
      <c r="H31" s="9" t="s">
        <v>139</v>
      </c>
      <c r="I31" s="10" t="s">
        <v>65</v>
      </c>
    </row>
    <row r="32" customFormat="false" ht="45" hidden="false" customHeight="true" outlineLevel="0" collapsed="false">
      <c r="A32" s="4" t="s">
        <v>140</v>
      </c>
      <c r="B32" s="5" t="s">
        <v>141</v>
      </c>
      <c r="C32" s="6" t="s">
        <v>133</v>
      </c>
      <c r="D32" s="12" t="s">
        <v>27</v>
      </c>
      <c r="E32" s="6" t="s">
        <v>15</v>
      </c>
      <c r="F32" s="12" t="s">
        <v>27</v>
      </c>
      <c r="G32" s="5" t="s">
        <v>142</v>
      </c>
      <c r="H32" s="5" t="s">
        <v>143</v>
      </c>
      <c r="I32" s="6" t="s">
        <v>65</v>
      </c>
    </row>
    <row r="33" customFormat="false" ht="45" hidden="false" customHeight="true" outlineLevel="0" collapsed="false">
      <c r="A33" s="8" t="s">
        <v>144</v>
      </c>
      <c r="B33" s="9" t="s">
        <v>145</v>
      </c>
      <c r="C33" s="10" t="s">
        <v>133</v>
      </c>
      <c r="D33" s="11" t="s">
        <v>22</v>
      </c>
      <c r="E33" s="10" t="s">
        <v>15</v>
      </c>
      <c r="F33" s="11" t="s">
        <v>22</v>
      </c>
      <c r="G33" s="9" t="s">
        <v>146</v>
      </c>
      <c r="H33" s="9" t="s">
        <v>147</v>
      </c>
      <c r="I33" s="10" t="s">
        <v>109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3" t="s">
        <v>148</v>
      </c>
      <c r="B1" s="13"/>
      <c r="C1" s="13"/>
      <c r="D1" s="13"/>
    </row>
    <row r="2" customFormat="false" ht="24" hidden="false" customHeight="true" outlineLevel="0" collapsed="false">
      <c r="A2" s="14" t="s">
        <v>149</v>
      </c>
      <c r="B2" s="14" t="s">
        <v>150</v>
      </c>
      <c r="C2" s="14" t="s">
        <v>151</v>
      </c>
      <c r="D2" s="14" t="s">
        <v>152</v>
      </c>
    </row>
    <row r="3" customFormat="false" ht="30" hidden="false" customHeight="true" outlineLevel="0" collapsed="false">
      <c r="A3" s="7" t="s">
        <v>14</v>
      </c>
      <c r="B3" s="15" t="s">
        <v>153</v>
      </c>
      <c r="C3" s="16" t="s">
        <v>154</v>
      </c>
      <c r="D3" s="17" t="s">
        <v>155</v>
      </c>
    </row>
    <row r="4" customFormat="false" ht="30" hidden="false" customHeight="true" outlineLevel="0" collapsed="false">
      <c r="A4" s="11" t="s">
        <v>22</v>
      </c>
      <c r="B4" s="18" t="s">
        <v>156</v>
      </c>
      <c r="C4" s="19" t="s">
        <v>157</v>
      </c>
      <c r="D4" s="20" t="s">
        <v>155</v>
      </c>
    </row>
    <row r="5" customFormat="false" ht="30" hidden="false" customHeight="true" outlineLevel="0" collapsed="false">
      <c r="A5" s="12" t="s">
        <v>27</v>
      </c>
      <c r="B5" s="21" t="s">
        <v>158</v>
      </c>
      <c r="C5" s="22" t="s">
        <v>159</v>
      </c>
      <c r="D5" s="23" t="s">
        <v>155</v>
      </c>
    </row>
    <row r="6" customFormat="false" ht="30" hidden="false" customHeight="true" outlineLevel="0" collapsed="false">
      <c r="A6" s="24" t="s">
        <v>160</v>
      </c>
      <c r="B6" s="25" t="s">
        <v>161</v>
      </c>
      <c r="C6" s="26" t="s">
        <v>162</v>
      </c>
      <c r="D6" s="27" t="s">
        <v>155</v>
      </c>
    </row>
    <row r="8" customFormat="false" ht="27.75" hidden="false" customHeight="true" outlineLevel="0" collapsed="false">
      <c r="A8" s="13" t="s">
        <v>163</v>
      </c>
      <c r="B8" s="13"/>
      <c r="C8" s="13"/>
      <c r="D8" s="13"/>
    </row>
    <row r="9" customFormat="false" ht="24" hidden="false" customHeight="true" outlineLevel="0" collapsed="false">
      <c r="A9" s="14" t="s">
        <v>4</v>
      </c>
      <c r="B9" s="14" t="s">
        <v>164</v>
      </c>
      <c r="C9" s="14" t="s">
        <v>165</v>
      </c>
      <c r="D9" s="14" t="s">
        <v>166</v>
      </c>
    </row>
    <row r="10" customFormat="false" ht="21.75" hidden="false" customHeight="true" outlineLevel="0" collapsed="false">
      <c r="A10" s="28" t="s">
        <v>13</v>
      </c>
      <c r="B10" s="6" t="n">
        <v>4</v>
      </c>
      <c r="C10" s="6" t="n">
        <v>3</v>
      </c>
      <c r="D10" s="11" t="s">
        <v>15</v>
      </c>
    </row>
    <row r="11" customFormat="false" ht="21.75" hidden="false" customHeight="true" outlineLevel="0" collapsed="false">
      <c r="A11" s="29" t="s">
        <v>36</v>
      </c>
      <c r="B11" s="10" t="n">
        <v>4</v>
      </c>
      <c r="C11" s="10" t="n">
        <v>2</v>
      </c>
      <c r="D11" s="11" t="s">
        <v>15</v>
      </c>
    </row>
    <row r="12" customFormat="false" ht="21.75" hidden="false" customHeight="true" outlineLevel="0" collapsed="false">
      <c r="A12" s="28" t="s">
        <v>54</v>
      </c>
      <c r="B12" s="6" t="n">
        <v>4</v>
      </c>
      <c r="C12" s="6" t="n">
        <v>3</v>
      </c>
      <c r="D12" s="11" t="s">
        <v>15</v>
      </c>
    </row>
    <row r="13" customFormat="false" ht="21.75" hidden="false" customHeight="true" outlineLevel="0" collapsed="false">
      <c r="A13" s="29" t="s">
        <v>72</v>
      </c>
      <c r="B13" s="10" t="n">
        <v>4</v>
      </c>
      <c r="C13" s="10" t="n">
        <v>3</v>
      </c>
      <c r="D13" s="11" t="s">
        <v>15</v>
      </c>
    </row>
    <row r="14" customFormat="false" ht="21.75" hidden="false" customHeight="true" outlineLevel="0" collapsed="false">
      <c r="A14" s="28" t="s">
        <v>89</v>
      </c>
      <c r="B14" s="6" t="n">
        <v>6</v>
      </c>
      <c r="C14" s="6" t="n">
        <v>5</v>
      </c>
      <c r="D14" s="7" t="s">
        <v>167</v>
      </c>
    </row>
    <row r="15" customFormat="false" ht="21.75" hidden="false" customHeight="true" outlineLevel="0" collapsed="false">
      <c r="A15" s="29" t="s">
        <v>116</v>
      </c>
      <c r="B15" s="10" t="n">
        <v>4</v>
      </c>
      <c r="C15" s="10" t="n">
        <v>1</v>
      </c>
      <c r="D15" s="12" t="s">
        <v>21</v>
      </c>
    </row>
    <row r="16" customFormat="false" ht="21.75" hidden="false" customHeight="true" outlineLevel="0" collapsed="false">
      <c r="A16" s="28" t="s">
        <v>133</v>
      </c>
      <c r="B16" s="6" t="n">
        <v>4</v>
      </c>
      <c r="C16" s="6" t="n">
        <v>3</v>
      </c>
      <c r="D16" s="11" t="s">
        <v>15</v>
      </c>
    </row>
    <row r="17" customFormat="false" ht="21.75" hidden="false" customHeight="true" outlineLevel="0" collapsed="false">
      <c r="A17" s="30" t="s">
        <v>168</v>
      </c>
      <c r="B17" s="30" t="n">
        <f aca="false">SUM(B10:B16)</f>
        <v>30</v>
      </c>
      <c r="C17" s="30" t="n">
        <f aca="false">SUM(C10:C16)</f>
        <v>20</v>
      </c>
      <c r="D17" s="31"/>
    </row>
    <row r="20" customFormat="false" ht="27.75" hidden="false" customHeight="true" outlineLevel="0" collapsed="false">
      <c r="A20" s="13" t="s">
        <v>169</v>
      </c>
      <c r="B20" s="13"/>
      <c r="C20" s="13"/>
      <c r="D20" s="13"/>
    </row>
    <row r="21" customFormat="false" ht="24" hidden="false" customHeight="true" outlineLevel="0" collapsed="false">
      <c r="A21" s="14" t="s">
        <v>170</v>
      </c>
      <c r="B21" s="14" t="s">
        <v>166</v>
      </c>
      <c r="C21" s="14" t="s">
        <v>171</v>
      </c>
      <c r="D21" s="14" t="s">
        <v>172</v>
      </c>
    </row>
    <row r="22" customFormat="false" ht="27.75" hidden="false" customHeight="true" outlineLevel="0" collapsed="false">
      <c r="A22" s="28" t="s">
        <v>173</v>
      </c>
      <c r="B22" s="11" t="s">
        <v>15</v>
      </c>
      <c r="C22" s="5" t="s">
        <v>174</v>
      </c>
      <c r="D22" s="6" t="s">
        <v>175</v>
      </c>
    </row>
    <row r="23" customFormat="false" ht="27.75" hidden="false" customHeight="true" outlineLevel="0" collapsed="false">
      <c r="A23" s="29" t="s">
        <v>176</v>
      </c>
      <c r="B23" s="11" t="s">
        <v>15</v>
      </c>
      <c r="C23" s="9" t="s">
        <v>177</v>
      </c>
      <c r="D23" s="10" t="s">
        <v>178</v>
      </c>
    </row>
    <row r="24" customFormat="false" ht="27.75" hidden="false" customHeight="true" outlineLevel="0" collapsed="false">
      <c r="A24" s="28" t="s">
        <v>179</v>
      </c>
      <c r="B24" s="11" t="s">
        <v>15</v>
      </c>
      <c r="C24" s="5" t="s">
        <v>180</v>
      </c>
      <c r="D24" s="6" t="s">
        <v>181</v>
      </c>
    </row>
    <row r="25" customFormat="false" ht="27.75" hidden="false" customHeight="true" outlineLevel="0" collapsed="false">
      <c r="A25" s="29" t="s">
        <v>182</v>
      </c>
      <c r="B25" s="11" t="s">
        <v>15</v>
      </c>
      <c r="C25" s="9" t="s">
        <v>183</v>
      </c>
      <c r="D25" s="10" t="s">
        <v>184</v>
      </c>
    </row>
    <row r="26" customFormat="false" ht="27.75" hidden="false" customHeight="true" outlineLevel="0" collapsed="false">
      <c r="A26" s="28" t="s">
        <v>185</v>
      </c>
      <c r="B26" s="12" t="s">
        <v>21</v>
      </c>
      <c r="C26" s="5" t="s">
        <v>186</v>
      </c>
      <c r="D26" s="6" t="s">
        <v>187</v>
      </c>
    </row>
  </sheetData>
  <mergeCells count="3">
    <mergeCell ref="A1:D1"/>
    <mergeCell ref="A8:D8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2026-05-23T13:18:34Z</dcterms:created>
  <dc:creator>openpyxl</dc:creator>
  <dc:description/>
  <dc:language>en-US</dc:language>
  <cp:lastModifiedBy/>
  <dcterms:modified xsi:type="dcterms:W3CDTF">2026-05-23T13:18:34Z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